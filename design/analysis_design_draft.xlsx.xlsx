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analysi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<sst xmlns="http://schemas.openxmlformats.org/spreadsheetml/2006/main" count="29" uniqueCount="24">
  <si>
    <t>Age Group</t>
  </si>
  <si>
    <t>Invasive Choices</t>
  </si>
  <si>
    <t>Non-Invasive Choices</t>
  </si>
  <si>
    <t>Total Choices</t>
  </si>
  <si>
    <t>Invasive Percentage</t>
  </si>
  <si>
    <t>Non-Invasive Percentage</t>
  </si>
  <si>
    <t>18-29</t>
  </si>
  <si>
    <t>30-49</t>
  </si>
  <si>
    <t>50-64</t>
  </si>
  <si>
    <t>65+</t>
  </si>
  <si>
    <t>Gardener Or Not</t>
  </si>
  <si>
    <t>Invasiv Percentage</t>
  </si>
  <si>
    <t>Gardener</t>
  </si>
  <si>
    <t>Not a gardener</t>
  </si>
  <si>
    <t>Characteristics</t>
  </si>
  <si>
    <t>Number of Choice</t>
  </si>
  <si>
    <t>Percentage</t>
  </si>
  <si>
    <t>Color</t>
  </si>
  <si>
    <t>Shape</t>
  </si>
  <si>
    <t>Familiarity</t>
  </si>
  <si>
    <t>Novelty</t>
  </si>
  <si>
    <t>General Plant Form</t>
  </si>
  <si>
    <t>postponed, focus on plant species</t>
  </si>
  <si>
    <t>also based on individual plant species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</si>
</sst>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4"/>
      <color theme="1"/>
      <name val="等线"/>
      <charset val="134"/>
    </font>
    <font>
      <sz val="14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9" fontId="3" fillId="0" borderId="1" xfId="0" applyNumberFormat="1" applyFont="1" applyBorder="1">
      <alignment vertical="center"/>
    </xf>
    <xf numFmtId="9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Percentage</a:t>
            </a:r>
            <a:r>
              <a:rPr lang="en-US" altLang="zh-CN" b="1" baseline="0"/>
              <a:t> of Invasive vs Non-Invasive Plant Choices by Age Group</a:t>
            </a:r>
            <a:endParaRPr lang="zh-C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"Invasive"</c:f>
              <c:strCache>
                <c:ptCount val="1"/>
                <c:pt idx="0">
                  <c:v>Invasive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analysis!$A$6:$A$9</c:f>
              <c:strCache>
                <c:ptCount val="4"/>
                <c:pt idx="0">
                  <c:v>18-29</c:v>
                </c:pt>
                <c:pt idx="1">
                  <c:v>30-49</c:v>
                </c:pt>
                <c:pt idx="2">
                  <c:v>50-64</c:v>
                </c:pt>
                <c:pt idx="3">
                  <c:v>65+</c:v>
                </c:pt>
              </c:strCache>
            </c:strRef>
          </c:cat>
          <c:val>
            <c:numRef>
              <c:f>analysis!$E$6:$E$9</c:f>
              <c:numCache>
                <c:formatCode>0%</c:formatCode>
                <c:ptCount val="4"/>
                <c:pt idx="0">
                  <c:v>0.666666666666667</c:v>
                </c:pt>
                <c:pt idx="1">
                  <c:v>0.72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"Non-Invasive"</c:f>
              <c:strCache>
                <c:ptCount val="1"/>
                <c:pt idx="0">
                  <c:v>Non-Invasive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analysis!$A$6:$A$9</c:f>
              <c:strCache>
                <c:ptCount val="4"/>
                <c:pt idx="0">
                  <c:v>18-29</c:v>
                </c:pt>
                <c:pt idx="1">
                  <c:v>30-49</c:v>
                </c:pt>
                <c:pt idx="2">
                  <c:v>50-64</c:v>
                </c:pt>
                <c:pt idx="3">
                  <c:v>65+</c:v>
                </c:pt>
              </c:strCache>
            </c:strRef>
          </c:cat>
          <c:val>
            <c:numRef>
              <c:f>analysis!$F$6:$F$9</c:f>
              <c:numCache>
                <c:formatCode>0%</c:formatCode>
                <c:ptCount val="4"/>
                <c:pt idx="0">
                  <c:v>0.333333333333333</c:v>
                </c:pt>
                <c:pt idx="1">
                  <c:v>0.28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715104"/>
        <c:axId val="11837155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analysis!$A$6:$A$9</c15:sqref>
                        </c15:formulaRef>
                      </c:ext>
                    </c:extLst>
                    <c:strCache>
                      <c:ptCount val="4"/>
                      <c:pt idx="0">
                        <c:v>18-29</c:v>
                      </c:pt>
                      <c:pt idx="1">
                        <c:v>30-49</c:v>
                      </c:pt>
                      <c:pt idx="2">
                        <c:v>50-64</c:v>
                      </c:pt>
                      <c:pt idx="3">
                        <c:v>65+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analysis!$B$6:$B$9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</c:v>
                      </c:pt>
                      <c:pt idx="1">
                        <c:v>18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analysis!$A$6:$A$9</c15:sqref>
                        </c15:formulaRef>
                      </c:ext>
                    </c:extLst>
                    <c:strCache>
                      <c:ptCount val="4"/>
                      <c:pt idx="0">
                        <c:v>18-29</c:v>
                      </c:pt>
                      <c:pt idx="1">
                        <c:v>30-49</c:v>
                      </c:pt>
                      <c:pt idx="2">
                        <c:v>50-64</c:v>
                      </c:pt>
                      <c:pt idx="3">
                        <c:v>65+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analysis!$C$6:$C$9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</c:v>
                      </c:pt>
                      <c:pt idx="1">
                        <c:v>7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analysis!$A$6:$A$9</c15:sqref>
                        </c15:formulaRef>
                      </c:ext>
                    </c:extLst>
                    <c:strCache>
                      <c:ptCount val="4"/>
                      <c:pt idx="0">
                        <c:v>18-29</c:v>
                      </c:pt>
                      <c:pt idx="1">
                        <c:v>30-49</c:v>
                      </c:pt>
                      <c:pt idx="2">
                        <c:v>50-64</c:v>
                      </c:pt>
                      <c:pt idx="3">
                        <c:v>65+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analysis!$D$6:$D$9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</c:v>
                      </c:pt>
                      <c:pt idx="1">
                        <c:v>25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183715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/>
                  <a:t>Age</a:t>
                </a:r>
                <a:r>
                  <a:rPr lang="en-US" altLang="zh-CN" sz="1400" b="1" baseline="0"/>
                  <a:t> Group</a:t>
                </a:r>
                <a:endParaRPr lang="zh-CN" altLang="en-US"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3715584"/>
        <c:crosses val="autoZero"/>
        <c:auto val="1"/>
        <c:lblAlgn val="ctr"/>
        <c:lblOffset val="100"/>
        <c:noMultiLvlLbl val="0"/>
      </c:catAx>
      <c:valAx>
        <c:axId val="118371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/>
                  <a:t>Percentage</a:t>
                </a:r>
                <a:r>
                  <a:rPr lang="en-US" altLang="zh-CN" sz="1400" b="1" baseline="0"/>
                  <a:t> of Choices</a:t>
                </a:r>
                <a:endParaRPr lang="zh-CN" altLang="en-US"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371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Percentage of Invasive vs Non-Invasive Plant Choices by Gardener/Non-Gardener</a:t>
            </a:r>
            <a:endParaRPr lang="zh-C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"Invasive"</c:f>
              <c:strCache>
                <c:ptCount val="1"/>
                <c:pt idx="0">
                  <c:v>Invasive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analysis!$A$41:$A$42</c:f>
              <c:strCache>
                <c:ptCount val="2"/>
                <c:pt idx="0">
                  <c:v>Gardener</c:v>
                </c:pt>
                <c:pt idx="1">
                  <c:v>Not a gardener</c:v>
                </c:pt>
              </c:strCache>
            </c:strRef>
          </c:cat>
          <c:val>
            <c:numRef>
              <c:f>analysis!$E$41:$E$42</c:f>
              <c:numCache>
                <c:formatCode>0%</c:formatCode>
                <c:ptCount val="2"/>
                <c:pt idx="0">
                  <c:v>0.7</c:v>
                </c:pt>
                <c:pt idx="1">
                  <c:v>0.7</c:v>
                </c:pt>
              </c:numCache>
            </c:numRef>
          </c:val>
        </c:ser>
        <c:ser>
          <c:idx val="4"/>
          <c:order val="4"/>
          <c:tx>
            <c:strRef>
              <c:f>"Non-Invasive"</c:f>
              <c:strCache>
                <c:ptCount val="1"/>
                <c:pt idx="0">
                  <c:v>Non-Invasive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analysis!$A$41:$A$42</c:f>
              <c:strCache>
                <c:ptCount val="2"/>
                <c:pt idx="0">
                  <c:v>Gardener</c:v>
                </c:pt>
                <c:pt idx="1">
                  <c:v>Not a gardener</c:v>
                </c:pt>
              </c:strCache>
            </c:strRef>
          </c:cat>
          <c:val>
            <c:numRef>
              <c:f>analysis!$F$41:$F$42</c:f>
              <c:numCache>
                <c:formatCode>0%</c:formatCode>
                <c:ptCount val="2"/>
                <c:pt idx="0">
                  <c:v>0.3</c:v>
                </c:pt>
                <c:pt idx="1">
                  <c:v>0.3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9804208"/>
        <c:axId val="1689807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analysis!$A$41:$A$42</c15:sqref>
                        </c15:formulaRef>
                      </c:ext>
                    </c:extLst>
                    <c:strCache>
                      <c:ptCount val="2"/>
                      <c:pt idx="0">
                        <c:v>Gardener</c:v>
                      </c:pt>
                      <c:pt idx="1">
                        <c:v>Not a gardener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analysis!$B$41:$B$42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7</c:v>
                      </c:pt>
                      <c:pt idx="1">
                        <c:v>21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analysis!$A$41:$A$42</c15:sqref>
                        </c15:formulaRef>
                      </c:ext>
                    </c:extLst>
                    <c:strCache>
                      <c:ptCount val="2"/>
                      <c:pt idx="0">
                        <c:v>Gardener</c:v>
                      </c:pt>
                      <c:pt idx="1">
                        <c:v>Not a gardener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analysis!$C$41:$C$42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3</c:v>
                      </c:pt>
                      <c:pt idx="1">
                        <c:v>9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analysis!$A$41:$A$42</c15:sqref>
                        </c15:formulaRef>
                      </c:ext>
                    </c:extLst>
                    <c:strCache>
                      <c:ptCount val="2"/>
                      <c:pt idx="0">
                        <c:v>Gardener</c:v>
                      </c:pt>
                      <c:pt idx="1">
                        <c:v>Not a gardener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analysis!$D$41:$D$42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</c:v>
                      </c:pt>
                      <c:pt idx="1">
                        <c:v>30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68980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/>
                  <a:t>Gardner/Non-Gardener</a:t>
                </a:r>
                <a:endParaRPr lang="zh-CN" altLang="en-US"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9807568"/>
        <c:crosses val="autoZero"/>
        <c:auto val="1"/>
        <c:lblAlgn val="ctr"/>
        <c:lblOffset val="100"/>
        <c:noMultiLvlLbl val="0"/>
      </c:catAx>
      <c:valAx>
        <c:axId val="168980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/>
                  <a:t>Percentage</a:t>
                </a:r>
                <a:r>
                  <a:rPr lang="zh-CN" altLang="en-US" sz="1400" b="1" baseline="0"/>
                  <a:t> </a:t>
                </a:r>
                <a:r>
                  <a:rPr lang="en-US" altLang="zh-CN" sz="1400" b="1" baseline="0"/>
                  <a:t>of Choices</a:t>
                </a:r>
                <a:endParaRPr lang="zh-CN" altLang="en-US"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98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altLang="zh-CN" sz="1400" b="1" i="0" u="none" strike="noStrike" baseline="0"/>
              <a:t>Preference for Plant Characteristics on User Choices</a:t>
            </a:r>
            <a:endParaRPr lang="zh-C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"Plant Characteristics"</c:f>
              <c:strCache>
                <c:ptCount val="1"/>
                <c:pt idx="0">
                  <c:v>Plant Characteristics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analysis!$A$74:$A$78</c:f>
              <c:strCache>
                <c:ptCount val="5"/>
                <c:pt idx="0">
                  <c:v>Color</c:v>
                </c:pt>
                <c:pt idx="1">
                  <c:v>Shape</c:v>
                </c:pt>
                <c:pt idx="2">
                  <c:v>Familiarity</c:v>
                </c:pt>
                <c:pt idx="3">
                  <c:v>Novelty</c:v>
                </c:pt>
                <c:pt idx="4">
                  <c:v>General Plant Form</c:v>
                </c:pt>
              </c:strCache>
            </c:strRef>
          </c:cat>
          <c:val>
            <c:numRef>
              <c:f>analysis!$D$74:$D$78</c:f>
              <c:numCache>
                <c:formatCode>0.00%</c:formatCode>
                <c:ptCount val="5"/>
                <c:pt idx="0">
                  <c:v>0.24390243902439</c:v>
                </c:pt>
                <c:pt idx="1">
                  <c:v>0.292682926829268</c:v>
                </c:pt>
                <c:pt idx="2">
                  <c:v>0.195121951219512</c:v>
                </c:pt>
                <c:pt idx="3">
                  <c:v>0.146341463414634</c:v>
                </c:pt>
                <c:pt idx="4">
                  <c:v>0.121951219512195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2905488"/>
        <c:axId val="1712905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analysis!$A$74:$A$78</c15:sqref>
                        </c15:formulaRef>
                      </c:ext>
                    </c:extLst>
                    <c:strCache>
                      <c:ptCount val="5"/>
                      <c:pt idx="0">
                        <c:v>Color</c:v>
                      </c:pt>
                      <c:pt idx="1">
                        <c:v>Shape</c:v>
                      </c:pt>
                      <c:pt idx="2">
                        <c:v>Familiarity</c:v>
                      </c:pt>
                      <c:pt idx="3">
                        <c:v>Novelty</c:v>
                      </c:pt>
                      <c:pt idx="4">
                        <c:v>General Plant Form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analysis!$B$74:$B$78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8</c:v>
                      </c:pt>
                      <c:pt idx="3">
                        <c:v>6</c:v>
                      </c:pt>
                      <c:pt idx="4">
                        <c:v>5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CN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analysis!$A$74:$A$78</c15:sqref>
                        </c15:formulaRef>
                      </c:ext>
                    </c:extLst>
                    <c:strCache>
                      <c:ptCount val="5"/>
                      <c:pt idx="0">
                        <c:v>Color</c:v>
                      </c:pt>
                      <c:pt idx="1">
                        <c:v>Shape</c:v>
                      </c:pt>
                      <c:pt idx="2">
                        <c:v>Familiarity</c:v>
                      </c:pt>
                      <c:pt idx="3">
                        <c:v>Novelty</c:v>
                      </c:pt>
                      <c:pt idx="4">
                        <c:v>General Plant Form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analysis!$C$74:$C$78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41</c:v>
                      </c:pt>
                      <c:pt idx="1">
                        <c:v>41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41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171290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/>
                  <a:t>Plant</a:t>
                </a:r>
                <a:r>
                  <a:rPr lang="en-US" altLang="zh-CN" sz="1400" b="1" baseline="0"/>
                  <a:t> Characteristics</a:t>
                </a:r>
                <a:endParaRPr lang="zh-CN" altLang="en-US"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2905968"/>
        <c:crosses val="autoZero"/>
        <c:auto val="1"/>
        <c:lblAlgn val="ctr"/>
        <c:lblOffset val="100"/>
        <c:noMultiLvlLbl val="0"/>
      </c:catAx>
      <c:valAx>
        <c:axId val="171290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/>
                  <a:t>Choice</a:t>
                </a:r>
                <a:r>
                  <a:rPr lang="en-US" altLang="zh-CN" sz="1400" b="1" baseline="0"/>
                  <a:t> Percentage</a:t>
                </a:r>
                <a:endParaRPr lang="zh-CN" altLang="en-US" sz="14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290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676274</xdr:colOff>
      <xdr:row>10</xdr:row>
      <xdr:rowOff>195261</xdr:rowOff>
    </xdr:from>
    <xdr:to>
      <xdr:col>5</xdr:col>
      <xdr:colOff>1038224</xdr:colOff>
      <xdr:row>32</xdr:row>
      <xdr:rowOff>161925</xdr:rowOff>
    </xdr:to>
    <xdr:graphicFrame>
      <xdr:nvGraphicFramePr>
        <xdr:cNvPr id="4" name="图表 3"/>
        <xdr:cNvGraphicFramePr/>
      </xdr:nvGraphicFramePr>
      <xdr:xfrm>
        <a:off x="675640" y="2290445"/>
        <a:ext cx="8312150" cy="429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606424</xdr:colOff>
      <xdr:row>44</xdr:row>
      <xdr:rowOff>101600</xdr:rowOff>
    </xdr:from>
    <xdr:to>
      <xdr:col>5</xdr:col>
      <xdr:colOff>1476374</xdr:colOff>
      <xdr:row>65</xdr:row>
      <xdr:rowOff>168274</xdr:rowOff>
    </xdr:to>
    <xdr:graphicFrame>
      <xdr:nvGraphicFramePr>
        <xdr:cNvPr id="5" name="图表 4"/>
        <xdr:cNvGraphicFramePr/>
      </xdr:nvGraphicFramePr>
      <xdr:xfrm>
        <a:off x="605790" y="8966200"/>
        <a:ext cx="8820150" cy="419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112</xdr:row>
      <xdr:rowOff>149835</xdr:rowOff>
    </xdr:from>
    <xdr:to>
      <xdr:col>5</xdr:col>
      <xdr:colOff>1772826</xdr:colOff>
      <xdr:row>168</xdr:row>
      <xdr:rowOff>149835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2526625"/>
          <a:ext cx="9722485" cy="11023600"/>
        </a:xfrm>
        <a:prstGeom prst="rect">
          <a:avLst/>
        </a:prstGeom>
      </xdr:spPr>
    </xdr:pic>
    <xdr:clientData/>
  </xdr:twoCellAnchor>
  <xdr:oneCellAnchor>
    <xdr:from>
      <xdr:col>0</xdr:col>
      <xdr:colOff>63500</xdr:colOff>
      <xdr:row>109</xdr:row>
      <xdr:rowOff>87287</xdr:rowOff>
    </xdr:from>
    <xdr:ext cx="4562852" cy="399082"/>
    <xdr:sp>
      <xdr:nvSpPr>
        <xdr:cNvPr id="7" name="文本框 6"/>
        <xdr:cNvSpPr txBox="1"/>
      </xdr:nvSpPr>
      <xdr:spPr>
        <a:xfrm>
          <a:off x="63500" y="21873845"/>
          <a:ext cx="4562475" cy="398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 b="1"/>
            <a:t>Sample</a:t>
          </a:r>
          <a:r>
            <a:rPr lang="en-US" altLang="zh-CN" sz="2000" b="1" baseline="0"/>
            <a:t> of weighted Bradley-Terry Model</a:t>
          </a:r>
          <a:endParaRPr lang="zh-CN" altLang="en-US" sz="2000" b="1"/>
        </a:p>
      </xdr:txBody>
    </xdr:sp>
    <xdr:clientData/>
  </xdr:oneCellAnchor>
  <xdr:twoCellAnchor>
    <xdr:from>
      <xdr:col>0</xdr:col>
      <xdr:colOff>739434</xdr:colOff>
      <xdr:row>79</xdr:row>
      <xdr:rowOff>127340</xdr:rowOff>
    </xdr:from>
    <xdr:to>
      <xdr:col>5</xdr:col>
      <xdr:colOff>1031422</xdr:colOff>
      <xdr:row>106</xdr:row>
      <xdr:rowOff>48079</xdr:rowOff>
    </xdr:to>
    <xdr:graphicFrame>
      <xdr:nvGraphicFramePr>
        <xdr:cNvPr id="2" name="图表 1"/>
        <xdr:cNvGraphicFramePr/>
      </xdr:nvGraphicFramePr>
      <xdr:xfrm>
        <a:off x="739140" y="16008350"/>
        <a:ext cx="8242300" cy="523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69</xdr:row>
      <xdr:rowOff>15850</xdr:rowOff>
    </xdr:from>
    <xdr:ext cx="5641096" cy="405432"/>
    <xdr:sp>
      <xdr:nvSpPr>
        <xdr:cNvPr id="3" name="文本框 2"/>
        <xdr:cNvSpPr txBox="1"/>
      </xdr:nvSpPr>
      <xdr:spPr>
        <a:xfrm>
          <a:off x="0" y="13801090"/>
          <a:ext cx="5640705" cy="4057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 b="1"/>
            <a:t>Percentage of Plant Characteristics on User Choices</a:t>
          </a:r>
          <a:endParaRPr lang="zh-CN" altLang="en-US" sz="2000" b="1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7307385" cy="405432"/>
    <xdr:sp>
      <xdr:nvSpPr>
        <xdr:cNvPr id="8" name="文本框 7"/>
        <xdr:cNvSpPr txBox="1"/>
      </xdr:nvSpPr>
      <xdr:spPr>
        <a:xfrm>
          <a:off x="0" y="196850"/>
          <a:ext cx="7306945" cy="405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 b="1"/>
            <a:t>Percentage of Invasive vs Non-Invasive Plant Choices</a:t>
          </a:r>
          <a:r>
            <a:rPr lang="en-US" altLang="zh-CN" sz="2000" b="1" baseline="0"/>
            <a:t> by Age Group</a:t>
          </a:r>
          <a:endParaRPr lang="zh-CN" altLang="en-US" sz="2000" b="1"/>
        </a:p>
      </xdr:txBody>
    </xdr:sp>
    <xdr:clientData/>
  </xdr:oneCellAnchor>
  <xdr:oneCellAnchor>
    <xdr:from>
      <xdr:col>0</xdr:col>
      <xdr:colOff>0</xdr:colOff>
      <xdr:row>35</xdr:row>
      <xdr:rowOff>185713</xdr:rowOff>
    </xdr:from>
    <xdr:ext cx="8820620" cy="404837"/>
    <xdr:sp>
      <xdr:nvSpPr>
        <xdr:cNvPr id="9" name="文本框 8"/>
        <xdr:cNvSpPr txBox="1"/>
      </xdr:nvSpPr>
      <xdr:spPr>
        <a:xfrm>
          <a:off x="0" y="7202170"/>
          <a:ext cx="8820150" cy="405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2000" b="1"/>
            <a:t>Percentage</a:t>
          </a:r>
          <a:r>
            <a:rPr lang="en-US" altLang="zh-CN" sz="2000" b="1" baseline="0"/>
            <a:t> of Invasive vs Non-Invasive Plant Choices by Gardener/Non-Gardener</a:t>
          </a:r>
          <a:endParaRPr lang="zh-CN" altLang="en-US" sz="20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M118"/>
  <sheetViews>
    <sheetView tabSelected="1" topLeftCell="A74" workbookViewId="0">
      <selection activeCell="G82" sqref="G82"/>
    </sheetView>
  </sheetViews>
  <sheetFormatPr defaultColWidth="9" defaultRowHeight="15.5"/>
  <cols>
    <col min="1" max="1" width="19.5454545454545" style="1" customWidth="1"/>
    <col min="2" max="2" width="22" style="1" customWidth="1"/>
    <col min="3" max="3" width="29" style="1" customWidth="1"/>
    <col min="4" max="4" width="18.1818181818182" style="1" customWidth="1"/>
    <col min="5" max="5" width="25.0909090909091" style="1" customWidth="1"/>
    <col min="6" max="6" width="33.5454545454545" style="1" customWidth="1"/>
    <col min="7" max="7" width="9" style="1"/>
    <col min="8" max="8" width="22.7272727272727" style="1" customWidth="1"/>
    <col min="9" max="9" width="22" style="1" customWidth="1"/>
    <col min="10" max="10" width="29" style="1" customWidth="1"/>
    <col min="11" max="11" width="18.1818181818182" style="1" customWidth="1"/>
    <col min="12" max="12" width="25.0909090909091" style="1" customWidth="1"/>
    <col min="13" max="13" width="33.5454545454545" style="1" customWidth="1"/>
    <col min="14" max="16384" width="9" style="1"/>
  </cols>
  <sheetData>
    <row r="5" ht="17.5" spans="1:6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ht="17.5" spans="1:6">
      <c r="A6" s="3" t="s">
        <v>6</v>
      </c>
      <c r="B6" s="3">
        <v>10</v>
      </c>
      <c r="C6" s="3">
        <v>5</v>
      </c>
      <c r="D6" s="3">
        <v>15</v>
      </c>
      <c r="E6" s="4">
        <f>IF(D6=0,0,B6/D6)</f>
        <v>0.666666666666667</v>
      </c>
      <c r="F6" s="4">
        <f>IF(D6=0,0,C6/D6)</f>
        <v>0.333333333333333</v>
      </c>
    </row>
    <row r="7" ht="17.5" spans="1:6">
      <c r="A7" s="3" t="s">
        <v>7</v>
      </c>
      <c r="B7" s="3">
        <v>18</v>
      </c>
      <c r="C7" s="3">
        <v>7</v>
      </c>
      <c r="D7" s="3">
        <v>25</v>
      </c>
      <c r="E7" s="4">
        <f t="shared" ref="E7:E9" si="0">IF(D7=0,0,B7/D7)</f>
        <v>0.72</v>
      </c>
      <c r="F7" s="4">
        <f t="shared" ref="F7:F9" si="1">IF(D7=0,0,C7/D7)</f>
        <v>0.28</v>
      </c>
    </row>
    <row r="8" ht="17.5" spans="1:13">
      <c r="A8" s="3" t="s">
        <v>8</v>
      </c>
      <c r="B8" s="3">
        <v>0</v>
      </c>
      <c r="C8" s="3">
        <v>0</v>
      </c>
      <c r="D8" s="3">
        <v>0</v>
      </c>
      <c r="E8" s="4">
        <f t="shared" si="0"/>
        <v>0</v>
      </c>
      <c r="F8" s="4">
        <f t="shared" si="1"/>
        <v>0</v>
      </c>
      <c r="L8" s="5"/>
      <c r="M8" s="6"/>
    </row>
    <row r="9" ht="17.5" spans="1:13">
      <c r="A9" s="3" t="s">
        <v>9</v>
      </c>
      <c r="B9" s="3">
        <v>0</v>
      </c>
      <c r="C9" s="3">
        <v>0</v>
      </c>
      <c r="D9" s="3">
        <v>0</v>
      </c>
      <c r="E9" s="4">
        <f t="shared" si="0"/>
        <v>0</v>
      </c>
      <c r="F9" s="4">
        <f t="shared" si="1"/>
        <v>0</v>
      </c>
      <c r="L9" s="5"/>
      <c r="M9" s="6"/>
    </row>
    <row r="40" ht="17.5" spans="1:6">
      <c r="A40" s="2" t="s">
        <v>10</v>
      </c>
      <c r="B40" s="2" t="s">
        <v>1</v>
      </c>
      <c r="C40" s="2" t="s">
        <v>2</v>
      </c>
      <c r="D40" s="2" t="s">
        <v>3</v>
      </c>
      <c r="E40" s="2" t="s">
        <v>11</v>
      </c>
      <c r="F40" s="2" t="s">
        <v>5</v>
      </c>
    </row>
    <row r="41" ht="17.5" spans="1:6">
      <c r="A41" s="3" t="s">
        <v>12</v>
      </c>
      <c r="B41" s="3">
        <v>7</v>
      </c>
      <c r="C41" s="3">
        <v>3</v>
      </c>
      <c r="D41" s="3">
        <v>10</v>
      </c>
      <c r="E41" s="4">
        <f>IF(D41=0,0,B41/D41)</f>
        <v>0.7</v>
      </c>
      <c r="F41" s="4">
        <f>IF(D41=0,0,C41/D41)</f>
        <v>0.3</v>
      </c>
    </row>
    <row r="42" ht="17.5" spans="1:6">
      <c r="A42" s="3" t="s">
        <v>13</v>
      </c>
      <c r="B42" s="3">
        <v>21</v>
      </c>
      <c r="C42" s="3">
        <v>9</v>
      </c>
      <c r="D42" s="3">
        <v>30</v>
      </c>
      <c r="E42" s="4">
        <f t="shared" ref="E42" si="2">IF(D42=0,0,B42/D42)</f>
        <v>0.7</v>
      </c>
      <c r="F42" s="4">
        <f t="shared" ref="F42" si="3">IF(D42=0,0,C42/D42)</f>
        <v>0.3</v>
      </c>
    </row>
    <row r="73" ht="17.5" spans="1:4">
      <c r="A73" s="7" t="s">
        <v>14</v>
      </c>
      <c r="B73" s="7" t="s">
        <v>15</v>
      </c>
      <c r="C73" s="7" t="s">
        <v>3</v>
      </c>
      <c r="D73" s="7" t="s">
        <v>16</v>
      </c>
    </row>
    <row r="74" ht="17.5" spans="1:4">
      <c r="A74" s="8" t="s">
        <v>17</v>
      </c>
      <c r="B74" s="8">
        <v>10</v>
      </c>
      <c r="C74" s="9">
        <v>41</v>
      </c>
      <c r="D74" s="10">
        <f>B74/C74</f>
        <v>0.24390243902439</v>
      </c>
    </row>
    <row r="75" ht="17.5" spans="1:4">
      <c r="A75" s="8" t="s">
        <v>18</v>
      </c>
      <c r="B75" s="8">
        <v>12</v>
      </c>
      <c r="C75" s="9">
        <v>41</v>
      </c>
      <c r="D75" s="10">
        <f>B75/C75</f>
        <v>0.292682926829268</v>
      </c>
    </row>
    <row r="76" ht="17.5" spans="1:4">
      <c r="A76" s="8" t="s">
        <v>19</v>
      </c>
      <c r="B76" s="8">
        <v>8</v>
      </c>
      <c r="C76" s="9">
        <v>41</v>
      </c>
      <c r="D76" s="10">
        <f>B76/C76</f>
        <v>0.195121951219512</v>
      </c>
    </row>
    <row r="77" ht="17.5" spans="1:4">
      <c r="A77" s="8" t="s">
        <v>20</v>
      </c>
      <c r="B77" s="8">
        <v>6</v>
      </c>
      <c r="C77" s="9">
        <v>41</v>
      </c>
      <c r="D77" s="10">
        <f>B77/C77</f>
        <v>0.146341463414634</v>
      </c>
    </row>
    <row r="78" spans="1:4">
      <c r="A78" s="9" t="s">
        <v>21</v>
      </c>
      <c r="B78" s="9">
        <v>5</v>
      </c>
      <c r="C78" s="9">
        <v>41</v>
      </c>
      <c r="D78" s="10">
        <f>B78/C78</f>
        <v>0.121951219512195</v>
      </c>
    </row>
    <row r="81" spans="7:7">
      <c r="G81" s="1" t="s">
        <v>22</v>
      </c>
    </row>
    <row r="118" spans="7:7">
      <c r="G118" s="1" t="s">
        <v>23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analysis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Larry 江</cp:lastModifiedBy>
  <dcterms:created xsi:type="dcterms:W3CDTF">2025-07-28T07:50:00Z</dcterms:created>
  <dcterms:modified xsi:type="dcterms:W3CDTF">2025-07-29T02:22:30Z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D47F8D81259349BC84F8A26741F512A6</vt:lpwstr>
  </property>
  <property fmtid="{D5CDD505-2E9C-101B-9397-08002B2CF9AE}" pid="3" name="KSOProductBuildVer">
    <vt:lpwstr>2052-11.1.0.12173</vt:lpwstr>
  </property>
</Properties>
</file>